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13_ncr:1_{5AFB2B2F-A5A4-4D75-B624-70DF383567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6" r:id="rId1"/>
    <sheet name="Sales_Practice" sheetId="2" r:id="rId2"/>
    <sheet name="Student_Practice" sheetId="3" r:id="rId3"/>
    <sheet name="Instructions" sheetId="1" r:id="rId4"/>
    <sheet name="Expenses_Practice" sheetId="4" r:id="rId5"/>
    <sheet name="Formula_Practice" sheetId="5" r:id="rId6"/>
  </sheets>
  <definedNames>
    <definedName name="_xlnm._FilterDatabase" localSheetId="4" hidden="1">Expenses_Practice!$A$1:$B$9</definedName>
    <definedName name="_xlnm._FilterDatabase" localSheetId="5" hidden="1">Formula_Practice!$A$1:$C$16</definedName>
    <definedName name="_xlnm._FilterDatabase" localSheetId="3" hidden="1">Instructions!$A$1:$C$13</definedName>
    <definedName name="_xlnm._FilterDatabase" localSheetId="1" hidden="1">Sales_Practice!$A$1:$F$9</definedName>
    <definedName name="_xlnm._FilterDatabase" localSheetId="2" hidden="1">Student_Practice!$A$1:$E$9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E10" i="2"/>
  <c r="D13" i="1" s="1"/>
  <c r="E13" i="1"/>
  <c r="E14" i="1"/>
  <c r="E15" i="1"/>
  <c r="E16" i="1"/>
  <c r="E17" i="1"/>
  <c r="E12" i="1"/>
  <c r="E10" i="1"/>
  <c r="E9" i="1"/>
  <c r="G8" i="1" a="1"/>
  <c r="E7" i="1"/>
  <c r="E5" i="1"/>
  <c r="E6" i="1"/>
  <c r="E4" i="1"/>
  <c r="E3" i="1"/>
  <c r="E2" i="1"/>
  <c r="D10" i="2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<sst xmlns="http://schemas.openxmlformats.org/spreadsheetml/2006/main" count="120" uniqueCount="98">
  <si>
    <t>Topic</t>
  </si>
  <si>
    <t>Syntax</t>
  </si>
  <si>
    <t>Practice</t>
  </si>
  <si>
    <t>SUM</t>
  </si>
  <si>
    <t>Find total Quantity</t>
  </si>
  <si>
    <t>AVERAGE</t>
  </si>
  <si>
    <t>Find average Unit Price</t>
  </si>
  <si>
    <t>MIN</t>
  </si>
  <si>
    <t>Find lowest Unit Price</t>
  </si>
  <si>
    <t>MAX</t>
  </si>
  <si>
    <t>Find highest Unit Price</t>
  </si>
  <si>
    <t>COUNT</t>
  </si>
  <si>
    <t>Count numeric Quantity values</t>
  </si>
  <si>
    <t>COUNTA</t>
  </si>
  <si>
    <t>Count employee names</t>
  </si>
  <si>
    <t>IF</t>
  </si>
  <si>
    <t>If Quantity &gt;= 5, write Bulk else Normal</t>
  </si>
  <si>
    <t>COUNTIF</t>
  </si>
  <si>
    <t>Count Sales department employees</t>
  </si>
  <si>
    <t>SUMIF</t>
  </si>
  <si>
    <t>Find total Quantity for Sales</t>
  </si>
  <si>
    <t>ROUND</t>
  </si>
  <si>
    <t>Round a calculated value</t>
  </si>
  <si>
    <t>Percentage</t>
  </si>
  <si>
    <t>Calculate 10% of Unit Price</t>
  </si>
  <si>
    <t>Discount</t>
  </si>
  <si>
    <t>Calculate discount amount</t>
  </si>
  <si>
    <t>Employee</t>
  </si>
  <si>
    <t>Department</t>
  </si>
  <si>
    <t>Product</t>
  </si>
  <si>
    <t>Quantity</t>
  </si>
  <si>
    <t>Unit Price</t>
  </si>
  <si>
    <t>Discount %</t>
  </si>
  <si>
    <t>Total Amount (Practice)</t>
  </si>
  <si>
    <t>Discount Amount (Practice)</t>
  </si>
  <si>
    <t>Final Amount (Practice)</t>
  </si>
  <si>
    <t>Type (Practice)</t>
  </si>
  <si>
    <t>Asha</t>
  </si>
  <si>
    <t>Sales</t>
  </si>
  <si>
    <t>Laptop</t>
  </si>
  <si>
    <t>Ravi</t>
  </si>
  <si>
    <t>Mouse</t>
  </si>
  <si>
    <t>John</t>
  </si>
  <si>
    <t>HR</t>
  </si>
  <si>
    <t>Keyboard</t>
  </si>
  <si>
    <t>Priya</t>
  </si>
  <si>
    <t>Finance</t>
  </si>
  <si>
    <t>Monitor</t>
  </si>
  <si>
    <t>Kiran</t>
  </si>
  <si>
    <t>Neha</t>
  </si>
  <si>
    <t>Arjun</t>
  </si>
  <si>
    <t>Sana</t>
  </si>
  <si>
    <t>Student</t>
  </si>
  <si>
    <t>Python</t>
  </si>
  <si>
    <t>SQL</t>
  </si>
  <si>
    <t>Excel</t>
  </si>
  <si>
    <t>Power BI</t>
  </si>
  <si>
    <t>Total (Practice)</t>
  </si>
  <si>
    <t>Average (Practice)</t>
  </si>
  <si>
    <t>Result (Practice)</t>
  </si>
  <si>
    <t>Rahul</t>
  </si>
  <si>
    <t>Sita</t>
  </si>
  <si>
    <t>Arun</t>
  </si>
  <si>
    <t>Meena</t>
  </si>
  <si>
    <t>Vijay</t>
  </si>
  <si>
    <t>Amina</t>
  </si>
  <si>
    <t>Karthik</t>
  </si>
  <si>
    <t>Divya</t>
  </si>
  <si>
    <t>Category</t>
  </si>
  <si>
    <t>Amount</t>
  </si>
  <si>
    <t>Food</t>
  </si>
  <si>
    <t>Travel</t>
  </si>
  <si>
    <t>Rent</t>
  </si>
  <si>
    <t>Internet</t>
  </si>
  <si>
    <t>Electricity</t>
  </si>
  <si>
    <t>Question</t>
  </si>
  <si>
    <t>Formula_To_Write</t>
  </si>
  <si>
    <t>Your_Answer</t>
  </si>
  <si>
    <t>1. Find total quantity</t>
  </si>
  <si>
    <t>2. Find average unit price</t>
  </si>
  <si>
    <t>3. Find minimum unit price</t>
  </si>
  <si>
    <t>4. Find maximum unit price</t>
  </si>
  <si>
    <t>5. Count quantity entries</t>
  </si>
  <si>
    <t>6. Count employee names</t>
  </si>
  <si>
    <t>7. Count Sales employees using COUNTIF</t>
  </si>
  <si>
    <t>8. Find Sales quantity using SUMIF</t>
  </si>
  <si>
    <t>9. Calculate discount amount for first row</t>
  </si>
  <si>
    <t>10. Calculate final amount for first row</t>
  </si>
  <si>
    <t>11. Find average Python marks</t>
  </si>
  <si>
    <t>12. Find highest Excel mark</t>
  </si>
  <si>
    <t>13. Find lowest SQL mark</t>
  </si>
  <si>
    <t>14. Count students with Python &gt;= 80 using COUNTIF</t>
  </si>
  <si>
    <t>15. Find total Food expenses using SUMIF</t>
  </si>
  <si>
    <t>MINIMUM</t>
  </si>
  <si>
    <t>MAXIMUM</t>
  </si>
  <si>
    <t>HIGHEST</t>
  </si>
  <si>
    <t>LOWEST</t>
  </si>
  <si>
    <t>SUM AMOUNT 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</si>
</sst>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0BE7F2C-8E6B-4890-BC79-CEE4AE10D1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8D13-36FB-410B-9F79-2911150AA79D}">
  <dimension ref="A1"/>
  <sheetViews>
    <sheetView workbookViewId="0">
      <selection activeCell="I3" sqref="I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6" width="12" customWidth="1"/>
  </cols>
  <sheetData>
    <row r="1" spans="1:1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3">
      <c r="A2" t="s">
        <v>37</v>
      </c>
      <c r="B2" t="s">
        <v>38</v>
      </c>
      <c r="C2" t="s">
        <v>39</v>
      </c>
      <c r="D2">
        <v>2</v>
      </c>
      <c r="E2">
        <v>55000</v>
      </c>
      <c r="F2">
        <v>5</v>
      </c>
    </row>
    <row r="3" spans="1:11" x14ac:dyDescent="0.3">
      <c r="A3" t="s">
        <v>40</v>
      </c>
      <c r="B3" t="s">
        <v>38</v>
      </c>
      <c r="C3" t="s">
        <v>41</v>
      </c>
      <c r="D3">
        <v>10</v>
      </c>
      <c r="E3">
        <v>800</v>
      </c>
      <c r="F3">
        <v>10</v>
      </c>
    </row>
    <row r="4" spans="1:11" x14ac:dyDescent="0.3">
      <c r="A4" t="s">
        <v>42</v>
      </c>
      <c r="B4" t="s">
        <v>43</v>
      </c>
      <c r="C4" t="s">
        <v>44</v>
      </c>
      <c r="D4">
        <v>5</v>
      </c>
      <c r="E4">
        <v>1225.567</v>
      </c>
      <c r="F4">
        <v>0</v>
      </c>
    </row>
    <row r="5" spans="1:11" x14ac:dyDescent="0.3">
      <c r="A5" t="s">
        <v>45</v>
      </c>
      <c r="B5" t="s">
        <v>46</v>
      </c>
      <c r="C5" t="s">
        <v>47</v>
      </c>
      <c r="D5">
        <v>3</v>
      </c>
      <c r="E5">
        <v>15000</v>
      </c>
      <c r="F5">
        <v>8</v>
      </c>
    </row>
    <row r="6" spans="1:11" x14ac:dyDescent="0.3">
      <c r="A6" t="s">
        <v>48</v>
      </c>
      <c r="B6" t="s">
        <v>38</v>
      </c>
      <c r="C6" t="s">
        <v>39</v>
      </c>
      <c r="D6">
        <v>1</v>
      </c>
      <c r="E6">
        <v>62000</v>
      </c>
      <c r="F6">
        <v>12</v>
      </c>
    </row>
    <row r="7" spans="1:11" x14ac:dyDescent="0.3">
      <c r="A7" t="s">
        <v>49</v>
      </c>
      <c r="B7" t="s">
        <v>43</v>
      </c>
      <c r="C7" t="s">
        <v>41</v>
      </c>
      <c r="D7">
        <v>8</v>
      </c>
      <c r="E7">
        <v>750</v>
      </c>
      <c r="F7">
        <v>5</v>
      </c>
    </row>
    <row r="8" spans="1:11" x14ac:dyDescent="0.3">
      <c r="A8" t="s">
        <v>50</v>
      </c>
      <c r="B8" t="s">
        <v>46</v>
      </c>
      <c r="C8" t="s">
        <v>47</v>
      </c>
      <c r="D8">
        <v>4</v>
      </c>
      <c r="E8">
        <v>14000</v>
      </c>
      <c r="F8">
        <v>10</v>
      </c>
    </row>
    <row r="9" spans="1:11" x14ac:dyDescent="0.3">
      <c r="A9" t="s">
        <v>51</v>
      </c>
      <c r="B9" t="s">
        <v>38</v>
      </c>
      <c r="C9" t="s">
        <v>44</v>
      </c>
      <c r="D9">
        <v>6</v>
      </c>
      <c r="E9">
        <v>1100</v>
      </c>
      <c r="F9">
        <v>7</v>
      </c>
    </row>
    <row r="10" spans="1:11" x14ac:dyDescent="0.3">
      <c r="D10">
        <f xml:space="preserve"> SUM(D2:D9)</f>
        <v>39</v>
      </c>
      <c r="E10">
        <f>SUM(E2:E9)</f>
        <v>149875.56700000001</v>
      </c>
    </row>
  </sheetData>
  <autoFilter ref="A1:F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5" width="12" customWidth="1"/>
  </cols>
  <sheetData>
    <row r="1" spans="1:8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t="s">
        <v>57</v>
      </c>
      <c r="G1" t="s">
        <v>58</v>
      </c>
      <c r="H1" t="s">
        <v>59</v>
      </c>
    </row>
    <row r="2" spans="1:8" x14ac:dyDescent="0.3">
      <c r="A2" t="s">
        <v>60</v>
      </c>
      <c r="B2">
        <v>78</v>
      </c>
      <c r="C2">
        <v>82</v>
      </c>
      <c r="D2">
        <v>88</v>
      </c>
      <c r="E2">
        <v>75</v>
      </c>
      <c r="H2">
        <f>SUM(B2:E2)</f>
        <v>323</v>
      </c>
    </row>
    <row r="3" spans="1:8" x14ac:dyDescent="0.3">
      <c r="A3" t="s">
        <v>61</v>
      </c>
      <c r="B3">
        <v>85</v>
      </c>
      <c r="C3">
        <v>79</v>
      </c>
      <c r="D3">
        <v>91</v>
      </c>
      <c r="E3">
        <v>87</v>
      </c>
    </row>
    <row r="4" spans="1:8" x14ac:dyDescent="0.3">
      <c r="A4" t="s">
        <v>62</v>
      </c>
      <c r="B4">
        <v>67</v>
      </c>
      <c r="C4">
        <v>72</v>
      </c>
      <c r="D4">
        <v>70</v>
      </c>
      <c r="E4">
        <v>65</v>
      </c>
    </row>
    <row r="5" spans="1:8" x14ac:dyDescent="0.3">
      <c r="A5" t="s">
        <v>63</v>
      </c>
      <c r="B5">
        <v>92</v>
      </c>
      <c r="C5">
        <v>90</v>
      </c>
      <c r="D5">
        <v>95</v>
      </c>
      <c r="E5">
        <v>93</v>
      </c>
    </row>
    <row r="6" spans="1:8" x14ac:dyDescent="0.3">
      <c r="A6" t="s">
        <v>64</v>
      </c>
      <c r="B6">
        <v>74</v>
      </c>
      <c r="C6">
        <v>68</v>
      </c>
      <c r="D6">
        <v>76</v>
      </c>
      <c r="E6">
        <v>71</v>
      </c>
    </row>
    <row r="7" spans="1:8" x14ac:dyDescent="0.3">
      <c r="A7" t="s">
        <v>65</v>
      </c>
      <c r="B7">
        <v>88</v>
      </c>
      <c r="C7">
        <v>84</v>
      </c>
      <c r="D7">
        <v>89</v>
      </c>
      <c r="E7">
        <v>86</v>
      </c>
    </row>
    <row r="8" spans="1:8" x14ac:dyDescent="0.3">
      <c r="A8" t="s">
        <v>66</v>
      </c>
      <c r="B8">
        <v>61</v>
      </c>
      <c r="C8">
        <v>65</v>
      </c>
      <c r="D8">
        <v>69</v>
      </c>
      <c r="E8">
        <v>63</v>
      </c>
    </row>
    <row r="9" spans="1:8" x14ac:dyDescent="0.3">
      <c r="A9" t="s">
        <v>67</v>
      </c>
      <c r="B9">
        <v>95</v>
      </c>
      <c r="C9">
        <v>91</v>
      </c>
      <c r="D9">
        <v>94</v>
      </c>
      <c r="E9">
        <v>96</v>
      </c>
    </row>
  </sheetData>
  <autoFilter ref="A1:E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" max="1" width="12" customWidth="1"/>
    <col min="2" max="3" width="32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e">
        <f>SUM(range)</f>
        <v>#NAME?</v>
      </c>
      <c r="C2" t="s">
        <v>4</v>
      </c>
      <c r="E2">
        <f>SUM(Sales_Practice!D2:D9)</f>
        <v>39</v>
      </c>
    </row>
    <row r="3" spans="1:7" x14ac:dyDescent="0.3">
      <c r="A3" t="s">
        <v>5</v>
      </c>
      <c r="B3" t="e">
        <f>AVERAGE(range)</f>
        <v>#NAME?</v>
      </c>
      <c r="C3" t="s">
        <v>6</v>
      </c>
      <c r="E3">
        <f>AVERAGE(Sales_Practice!E2:E9)</f>
        <v>18734.445875000001</v>
      </c>
    </row>
    <row r="4" spans="1:7" x14ac:dyDescent="0.3">
      <c r="A4" t="s">
        <v>7</v>
      </c>
      <c r="B4" t="e">
        <f>MIN(range)</f>
        <v>#NAME?</v>
      </c>
      <c r="C4" t="s">
        <v>8</v>
      </c>
      <c r="E4">
        <f>MIN(Sales_Practice!E2:E9)</f>
        <v>750</v>
      </c>
    </row>
    <row r="5" spans="1:7" x14ac:dyDescent="0.3">
      <c r="A5" t="s">
        <v>9</v>
      </c>
      <c r="B5" t="e">
        <f>MAX(range)</f>
        <v>#NAME?</v>
      </c>
      <c r="C5" t="s">
        <v>10</v>
      </c>
      <c r="E5">
        <f>MAX(Sales_Practice!E2:E9)</f>
        <v>62000</v>
      </c>
    </row>
    <row r="6" spans="1:7" x14ac:dyDescent="0.3">
      <c r="A6" t="s">
        <v>11</v>
      </c>
      <c r="B6">
        <f>COUNT(range)</f>
        <v>0</v>
      </c>
      <c r="C6" t="s">
        <v>12</v>
      </c>
      <c r="E6">
        <f>COUNT(Sales_Practice!D2:D9)</f>
        <v>8</v>
      </c>
    </row>
    <row r="7" spans="1:7" x14ac:dyDescent="0.3">
      <c r="A7" t="s">
        <v>13</v>
      </c>
      <c r="B7">
        <f>COUNTA(range)</f>
        <v>1</v>
      </c>
      <c r="C7" t="s">
        <v>14</v>
      </c>
      <c r="E7">
        <f>COUNTA(Sales_Practice!A2:A9)</f>
        <v>8</v>
      </c>
    </row>
    <row r="8" spans="1:7" x14ac:dyDescent="0.3">
      <c r="A8" t="s">
        <v>15</v>
      </c>
      <c r="B8" t="e">
        <f>IF(condition,value_if_true,value_if_false)</f>
        <v>#NAME?</v>
      </c>
      <c r="C8" t="s">
        <v>16</v>
      </c>
      <c r="G8" t="str" cm="1">
        <f t="array" ref="G8:G15">IF(Sales_Practice!D2:D9&gt;=5,"BULK","NORMAL")</f>
        <v>NORMAL</v>
      </c>
    </row>
    <row r="9" spans="1:7" x14ac:dyDescent="0.3">
      <c r="A9" t="s">
        <v>17</v>
      </c>
      <c r="B9" t="e">
        <f>COUNTIF(range,_xlnm.criteria)</f>
        <v>#NAME?</v>
      </c>
      <c r="C9" t="s">
        <v>18</v>
      </c>
      <c r="E9">
        <f>COUNTIF(Sales_Practice!B1:B9,Sales_Practice!B3)</f>
        <v>4</v>
      </c>
      <c r="G9" t="str">
        <v>BULK</v>
      </c>
    </row>
    <row r="10" spans="1:7" x14ac:dyDescent="0.3">
      <c r="A10" t="s">
        <v>19</v>
      </c>
      <c r="B10" t="e">
        <f>SUMIF(range,_xlnm.criteria,sum_range)</f>
        <v>#NAME?</v>
      </c>
      <c r="C10" t="s">
        <v>20</v>
      </c>
      <c r="E10">
        <f ca="1">SUMIF(Sales_Practice!B1:B9,Sales_Practice!B2,Sales_Practice!D2:D9)</f>
        <v>62</v>
      </c>
      <c r="G10" t="str">
        <v>BULK</v>
      </c>
    </row>
    <row r="11" spans="1:7" x14ac:dyDescent="0.3">
      <c r="A11" t="s">
        <v>21</v>
      </c>
      <c r="B11" t="e">
        <f>ROUND(number,num_digits)</f>
        <v>#NAME?</v>
      </c>
      <c r="C11" t="s">
        <v>22</v>
      </c>
      <c r="G11" t="str">
        <v>NORMAL</v>
      </c>
    </row>
    <row r="12" spans="1:7" x14ac:dyDescent="0.3">
      <c r="A12" t="s">
        <v>23</v>
      </c>
      <c r="B12" t="e">
        <f>value*percentage</f>
        <v>#NAME?</v>
      </c>
      <c r="C12" t="s">
        <v>24</v>
      </c>
      <c r="E12">
        <f>SUM(Sales_Practice!E2*10%)</f>
        <v>5500</v>
      </c>
      <c r="G12" t="str">
        <v>NORMAL</v>
      </c>
    </row>
    <row r="13" spans="1:7" x14ac:dyDescent="0.3">
      <c r="A13" t="s">
        <v>25</v>
      </c>
      <c r="B13" t="e">
        <f>amount*discount%</f>
        <v>#NAME?</v>
      </c>
      <c r="C13" t="s">
        <v>26</v>
      </c>
      <c r="D13">
        <f>SUM(Sales_Practice!E10/100)</f>
        <v>1498.75567</v>
      </c>
      <c r="E13">
        <f>SUM(Sales_Practice!E3*10%)</f>
        <v>80</v>
      </c>
      <c r="G13" t="str">
        <v>BULK</v>
      </c>
    </row>
    <row r="14" spans="1:7" x14ac:dyDescent="0.3">
      <c r="E14">
        <f>SUM(Sales_Practice!E4*10%)</f>
        <v>122.55670000000001</v>
      </c>
      <c r="G14" t="str">
        <v>NORMAL</v>
      </c>
    </row>
    <row r="15" spans="1:7" x14ac:dyDescent="0.3">
      <c r="E15">
        <f>SUM(Sales_Practice!E5*10%)</f>
        <v>1500</v>
      </c>
      <c r="G15" t="str">
        <v>BULK</v>
      </c>
    </row>
    <row r="16" spans="1:7" x14ac:dyDescent="0.3">
      <c r="E16">
        <f>SUM(Sales_Practice!E6*10%)</f>
        <v>6200</v>
      </c>
    </row>
    <row r="17" spans="5:5" x14ac:dyDescent="0.3">
      <c r="E17">
        <f>SUM(Sales_Practice!E7*10%)</f>
        <v>75</v>
      </c>
    </row>
  </sheetData>
  <autoFilter ref="A1:C13" xr:uid="{00000000-0009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</cols>
  <sheetData>
    <row r="1" spans="1:2" x14ac:dyDescent="0.3">
      <c r="A1" s="1" t="s">
        <v>68</v>
      </c>
      <c r="B1" s="1" t="s">
        <v>69</v>
      </c>
    </row>
    <row r="2" spans="1:2" x14ac:dyDescent="0.3">
      <c r="A2" t="s">
        <v>70</v>
      </c>
      <c r="B2">
        <v>4500</v>
      </c>
    </row>
    <row r="3" spans="1:2" x14ac:dyDescent="0.3">
      <c r="A3" t="s">
        <v>71</v>
      </c>
      <c r="B3">
        <v>1800</v>
      </c>
    </row>
    <row r="4" spans="1:2" x14ac:dyDescent="0.3">
      <c r="A4" t="s">
        <v>72</v>
      </c>
      <c r="B4">
        <v>12000</v>
      </c>
    </row>
    <row r="5" spans="1:2" x14ac:dyDescent="0.3">
      <c r="A5" t="s">
        <v>73</v>
      </c>
      <c r="B5">
        <v>900</v>
      </c>
    </row>
    <row r="6" spans="1:2" x14ac:dyDescent="0.3">
      <c r="A6" t="s">
        <v>70</v>
      </c>
      <c r="B6">
        <v>5200</v>
      </c>
    </row>
    <row r="7" spans="1:2" x14ac:dyDescent="0.3">
      <c r="A7" t="s">
        <v>71</v>
      </c>
      <c r="B7">
        <v>2200</v>
      </c>
    </row>
    <row r="8" spans="1:2" x14ac:dyDescent="0.3">
      <c r="A8" t="s">
        <v>74</v>
      </c>
      <c r="B8">
        <v>1500</v>
      </c>
    </row>
    <row r="9" spans="1:2" x14ac:dyDescent="0.3">
      <c r="A9" t="s">
        <v>73</v>
      </c>
      <c r="B9">
        <v>900</v>
      </c>
    </row>
  </sheetData>
  <autoFilter ref="A1:B9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="156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43.77734375" customWidth="1"/>
    <col min="2" max="2" width="28.5546875" customWidth="1"/>
    <col min="3" max="3" width="18" customWidth="1"/>
  </cols>
  <sheetData>
    <row r="1" spans="1:3" x14ac:dyDescent="0.3">
      <c r="A1" s="1" t="s">
        <v>75</v>
      </c>
      <c r="B1" s="1" t="s">
        <v>76</v>
      </c>
      <c r="C1" s="1" t="s">
        <v>77</v>
      </c>
    </row>
    <row r="2" spans="1:3" x14ac:dyDescent="0.3">
      <c r="A2" t="s">
        <v>78</v>
      </c>
      <c r="B2" t="s">
        <v>3</v>
      </c>
    </row>
    <row r="3" spans="1:3" x14ac:dyDescent="0.3">
      <c r="A3" t="s">
        <v>79</v>
      </c>
      <c r="B3" t="s">
        <v>5</v>
      </c>
    </row>
    <row r="4" spans="1:3" x14ac:dyDescent="0.3">
      <c r="A4" t="s">
        <v>80</v>
      </c>
      <c r="B4" t="s">
        <v>93</v>
      </c>
    </row>
    <row r="5" spans="1:3" x14ac:dyDescent="0.3">
      <c r="A5" t="s">
        <v>81</v>
      </c>
      <c r="B5" t="s">
        <v>94</v>
      </c>
    </row>
    <row r="6" spans="1:3" x14ac:dyDescent="0.3">
      <c r="A6" t="s">
        <v>82</v>
      </c>
      <c r="B6" t="s">
        <v>11</v>
      </c>
    </row>
    <row r="7" spans="1:3" x14ac:dyDescent="0.3">
      <c r="A7" t="s">
        <v>83</v>
      </c>
      <c r="B7" t="s">
        <v>11</v>
      </c>
    </row>
    <row r="8" spans="1:3" x14ac:dyDescent="0.3">
      <c r="A8" t="s">
        <v>84</v>
      </c>
      <c r="B8" t="s">
        <v>17</v>
      </c>
    </row>
    <row r="9" spans="1:3" x14ac:dyDescent="0.3">
      <c r="A9" t="s">
        <v>85</v>
      </c>
      <c r="B9" t="s">
        <v>19</v>
      </c>
    </row>
    <row r="10" spans="1:3" x14ac:dyDescent="0.3">
      <c r="A10" t="s">
        <v>86</v>
      </c>
      <c r="B10" t="s">
        <v>97</v>
      </c>
    </row>
    <row r="11" spans="1:3" x14ac:dyDescent="0.3">
      <c r="A11" t="s">
        <v>87</v>
      </c>
      <c r="B11" t="s">
        <v>3</v>
      </c>
    </row>
    <row r="12" spans="1:3" x14ac:dyDescent="0.3">
      <c r="A12" t="s">
        <v>88</v>
      </c>
      <c r="B12" t="s">
        <v>5</v>
      </c>
    </row>
    <row r="13" spans="1:3" x14ac:dyDescent="0.3">
      <c r="A13" t="s">
        <v>89</v>
      </c>
      <c r="B13" t="s">
        <v>95</v>
      </c>
    </row>
    <row r="14" spans="1:3" x14ac:dyDescent="0.3">
      <c r="A14" t="s">
        <v>90</v>
      </c>
      <c r="B14" t="s">
        <v>96</v>
      </c>
    </row>
    <row r="15" spans="1:3" x14ac:dyDescent="0.3">
      <c r="A15" t="s">
        <v>91</v>
      </c>
      <c r="B15" t="s">
        <v>3</v>
      </c>
    </row>
    <row r="16" spans="1:3" x14ac:dyDescent="0.3">
      <c r="A16" t="s">
        <v>92</v>
      </c>
      <c r="B16" t="s">
        <v>3</v>
      </c>
    </row>
  </sheetData>
  <autoFilter ref="A1:C1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Sales_Practice</vt:lpstr>
      <vt:lpstr>Student_Practice</vt:lpstr>
      <vt:lpstr>Instructions</vt:lpstr>
      <vt:lpstr>Expenses_Practice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Hasan</cp:lastModifiedBy>
  <dcterms:created xsi:type="dcterms:W3CDTF">2026-10-04T05:38:41Z</dcterms:created>
  <dcterms:modified xsi:type="dcterms:W3CDTF">2026-10-04T07:45:39Z</dcterms:modified>
</cp:coreProperties>
</file>